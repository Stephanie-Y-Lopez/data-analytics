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yolis\Documents\DataAnalytics\Week-01\"/>
    </mc:Choice>
  </mc:AlternateContent>
  <xr:revisionPtr revIDLastSave="0" documentId="13_ncr:1_{F3A0B23E-0E1D-4C50-8555-276F00AA87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Chart" sheetId="2" r:id="rId1"/>
    <sheet name="Analysis" sheetId="1" r:id="rId2"/>
  </sheets>
  <calcPr calcId="191029"/>
  <pivotCaches>
    <pivotCache cacheId="11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3" i="1"/>
  <c r="D4" i="1"/>
  <c r="D5" i="1"/>
</calcChain>
</file>

<file path=xl/sharedStrings.xml><?xml version="1.0" encoding="utf-8"?>
<sst xmlns="http://schemas.openxmlformats.org/spreadsheetml/2006/main" count="64" uniqueCount="42">
  <si>
    <t>Id</t>
  </si>
  <si>
    <t>Start time</t>
  </si>
  <si>
    <t>Completion time</t>
  </si>
  <si>
    <t>Email</t>
  </si>
  <si>
    <t>Name</t>
  </si>
  <si>
    <t>How would you rate your experience today? </t>
  </si>
  <si>
    <t>What did you order?</t>
  </si>
  <si>
    <t>Rate your food quality: 1= Horrible, 5 = Excellent </t>
  </si>
  <si>
    <t>Rate the service you received : 1= Horrible, 5 = Excellent </t>
  </si>
  <si>
    <t>Would you eat here again? </t>
  </si>
  <si>
    <t>Is our pricing inclusive? </t>
  </si>
  <si>
    <t>What can we improve? </t>
  </si>
  <si>
    <t>mpena1@my.yearupunited.org</t>
  </si>
  <si>
    <t>matthew pena</t>
  </si>
  <si>
    <t>3 = Good</t>
  </si>
  <si>
    <t>Burger;Pizza;</t>
  </si>
  <si>
    <t>4</t>
  </si>
  <si>
    <t>Yes</t>
  </si>
  <si>
    <t>N/A</t>
  </si>
  <si>
    <t>hli@my.yearupunited.org</t>
  </si>
  <si>
    <t>henry li</t>
  </si>
  <si>
    <t>Pasta;</t>
  </si>
  <si>
    <t>3</t>
  </si>
  <si>
    <t>Unsure</t>
  </si>
  <si>
    <t>Service</t>
  </si>
  <si>
    <t>icolman@my.yearupunited.org</t>
  </si>
  <si>
    <t>israel colman</t>
  </si>
  <si>
    <t>yes</t>
  </si>
  <si>
    <t>service speed</t>
  </si>
  <si>
    <t>amartinez5@my.yearupunited.org</t>
  </si>
  <si>
    <t>alizon martinez</t>
  </si>
  <si>
    <t>5 = Excellent</t>
  </si>
  <si>
    <t>Salad ;Pasta;</t>
  </si>
  <si>
    <t>5</t>
  </si>
  <si>
    <t xml:space="preserve">It's affordable </t>
  </si>
  <si>
    <t>Adding more menu items</t>
  </si>
  <si>
    <t>Time to complete</t>
  </si>
  <si>
    <t>=COUNTIF(G2:G5, "3 = Good")</t>
  </si>
  <si>
    <t>Row Labels</t>
  </si>
  <si>
    <t>Grand Total</t>
  </si>
  <si>
    <t>Count of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</si>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</sst>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mm/dd/yyyy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0" fillId="0" borderId="0" xfId="0" applyNumberFormat="1"/>
    <xf numFmtId="165" fontId="0" fillId="0" borderId="0" xfId="0" applyNumberFormat="1"/>
    <xf numFmtId="45" fontId="0" fillId="0" borderId="0" xfId="0" applyNumberFormat="1"/>
    <xf numFmtId="49" fontId="0" fillId="0" borderId="0" xfId="0" applyNumberFormat="1"/>
    <xf numFmtId="45" fontId="1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Currency" xfId="1" builtinId="4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8" formatCode="mm:ss"/>
    </dxf>
    <dxf>
      <numFmt numFmtId="28" formatCode="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[Vons1000SpiritsCustomerfeedbackSurvey.xlsx]PivotChart!PivotTable1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experience based on food selection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PivotChart!$B$1:$B$2</c:f>
              <c:strCache>
                <c:ptCount val="1"/>
                <c:pt idx="0">
                  <c:v>3 = Good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multiLvlStrRef>
              <c:f>PivotChart!$A$3:$A$10</c:f>
              <c:multiLvlStrCache>
                <c:ptCount val="4"/>
                <c:lvl>
                  <c:pt idx="0">
                    <c:v>Pasta;</c:v>
                  </c:pt>
                  <c:pt idx="1">
                    <c:v>Burger;Pizza;</c:v>
                  </c:pt>
                  <c:pt idx="2">
                    <c:v>Pasta;</c:v>
                  </c:pt>
                  <c:pt idx="3">
                    <c:v>Salad ;Pasta;</c:v>
                  </c:pt>
                </c:lvl>
                <c:lvl>
                  <c:pt idx="0">
                    <c:v>3</c:v>
                  </c:pt>
                  <c:pt idx="1">
                    <c:v>4</c:v>
                  </c:pt>
                  <c:pt idx="3">
                    <c:v>5</c:v>
                  </c:pt>
                </c:lvl>
              </c:multiLvlStrCache>
            </c:multiLvlStrRef>
          </c:cat>
          <c:val>
            <c:numRef>
              <c:f>PivotChart!$B$3:$B$10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3C-43E1-867C-BE294384FF1F}"/>
            </c:ext>
          </c:extLst>
        </c:ser>
        <c:ser>
          <c:idx val="1"/>
          <c:order val="1"/>
          <c:tx>
            <c:strRef>
              <c:f>PivotChart!$C$1:$C$2</c:f>
              <c:strCache>
                <c:ptCount val="1"/>
                <c:pt idx="0">
                  <c:v>5 = Excellent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multiLvlStrRef>
              <c:f>PivotChart!$A$3:$A$10</c:f>
              <c:multiLvlStrCache>
                <c:ptCount val="4"/>
                <c:lvl>
                  <c:pt idx="0">
                    <c:v>Pasta;</c:v>
                  </c:pt>
                  <c:pt idx="1">
                    <c:v>Burger;Pizza;</c:v>
                  </c:pt>
                  <c:pt idx="2">
                    <c:v>Pasta;</c:v>
                  </c:pt>
                  <c:pt idx="3">
                    <c:v>Salad ;Pasta;</c:v>
                  </c:pt>
                </c:lvl>
                <c:lvl>
                  <c:pt idx="0">
                    <c:v>3</c:v>
                  </c:pt>
                  <c:pt idx="1">
                    <c:v>4</c:v>
                  </c:pt>
                  <c:pt idx="3">
                    <c:v>5</c:v>
                  </c:pt>
                </c:lvl>
              </c:multiLvlStrCache>
            </c:multiLvlStrRef>
          </c:cat>
          <c:val>
            <c:numRef>
              <c:f>PivotChart!$C$3:$C$10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3C-43E1-867C-BE294384F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0</xdr:row>
      <xdr:rowOff>106680</xdr:rowOff>
    </xdr:from>
    <xdr:to>
      <xdr:col>12</xdr:col>
      <xdr:colOff>388620</xdr:colOff>
      <xdr:row>15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93E9C8-BED3-0C30-F230-F65206696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lis Lopez" refreshedDate="46316.446856365743" createdVersion="8" refreshedVersion="8" minRefreshableVersion="3" recordCount="4" xr:uid="{C7A8E2A7-8316-47D3-A0C2-CF04248144DB}">
  <cacheSource type="worksheet">
    <worksheetSource name="OfficeForms.Table"/>
  </cacheSource>
  <cacheFields count="22">
    <cacheField name="Id" numFmtId="0">
      <sharedItems containsSemiMixedTypes="0" containsString="0" containsNumber="1" containsInteger="1" minValue="1" maxValue="4"/>
    </cacheField>
    <cacheField name="Start time" numFmtId="165">
      <sharedItems containsSemiMixedTypes="0" containsNonDate="0" containsDate="1" containsString="0" minDate="2026-10-19T11:01:07" maxDate="2026-10-19T11:13:51" count="4">
        <d v="2026-10-19T11:01:07"/>
        <d v="2026-10-19T11:04:00"/>
        <d v="2026-10-19T11:04:55"/>
        <d v="2026-10-19T11:13:51"/>
      </sharedItems>
      <fieldGroup par="21"/>
    </cacheField>
    <cacheField name="Completion time" numFmtId="165">
      <sharedItems containsSemiMixedTypes="0" containsNonDate="0" containsDate="1" containsString="0" minDate="2026-10-19T11:02:52" maxDate="2026-10-19T11:14:46" count="4">
        <d v="2026-10-19T11:02:52"/>
        <d v="2026-10-19T11:05:20"/>
        <d v="2026-10-19T11:05:35"/>
        <d v="2026-10-19T11:14:46"/>
      </sharedItems>
      <fieldGroup par="18"/>
    </cacheField>
    <cacheField name="Time to complete" numFmtId="45">
      <sharedItems containsSemiMixedTypes="0" containsNonDate="0" containsDate="1" containsString="0" minDate="1899-12-30T00:00:40" maxDate="1899-12-30T00:01:45" count="4">
        <d v="1899-12-30T00:01:45"/>
        <d v="1899-12-30T00:01:20"/>
        <d v="1899-12-30T00:00:40"/>
        <d v="1899-12-30T00:00:55"/>
      </sharedItems>
      <fieldGroup par="15"/>
    </cacheField>
    <cacheField name="Email" numFmtId="0">
      <sharedItems count="4">
        <s v="mpena1@my.yearupunited.org"/>
        <s v="hli@my.yearupunited.org"/>
        <s v="icolman@my.yearupunited.org"/>
        <s v="amartinez5@my.yearupunited.org"/>
      </sharedItems>
    </cacheField>
    <cacheField name="Name" numFmtId="0">
      <sharedItems count="4">
        <s v="matthew pena"/>
        <s v="henry li"/>
        <s v="israel colman"/>
        <s v="alizon martinez"/>
      </sharedItems>
    </cacheField>
    <cacheField name="How would you rate your experience today? " numFmtId="0">
      <sharedItems count="2">
        <s v="3 = Good"/>
        <s v="5 = Excellent"/>
      </sharedItems>
    </cacheField>
    <cacheField name="What did you order?" numFmtId="0">
      <sharedItems count="3">
        <s v="Burger;Pizza;"/>
        <s v="Pasta;"/>
        <s v="Salad ;Pasta;"/>
      </sharedItems>
    </cacheField>
    <cacheField name="Rate your food quality: 1= Horrible, 5 = Excellent " numFmtId="45">
      <sharedItems count="3">
        <s v="4"/>
        <s v="3"/>
        <s v="5"/>
      </sharedItems>
    </cacheField>
    <cacheField name="Rate the service you received : 1= Horrible, 5 = Excellent " numFmtId="0">
      <sharedItems count="3">
        <s v="4"/>
        <s v="3"/>
        <s v="5"/>
      </sharedItems>
    </cacheField>
    <cacheField name="Would you eat here again? " numFmtId="0">
      <sharedItems/>
    </cacheField>
    <cacheField name="Is our pricing inclusive? " numFmtId="0">
      <sharedItems/>
    </cacheField>
    <cacheField name="What can we improve? " numFmtId="0">
      <sharedItems/>
    </cacheField>
    <cacheField name="Seconds (Time to complete)" numFmtId="0" databaseField="0">
      <fieldGroup base="3">
        <rangePr groupBy="seconds" startDate="1899-12-30T00:00:40" endDate="1899-12-30T00:01:45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Time to complete)" numFmtId="0" databaseField="0">
      <fieldGroup base="3">
        <rangePr groupBy="minutes" startDate="1899-12-30T00:00:40" endDate="1899-12-30T00:01:45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Time to complete)" numFmtId="0" databaseField="0">
      <fieldGroup base="3">
        <rangePr groupBy="hours" startDate="1899-12-30T00:00:40" endDate="1899-12-30T00:01:45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  <cacheField name="Seconds (Completion time)" numFmtId="0" databaseField="0">
      <fieldGroup base="2">
        <rangePr groupBy="seconds" startDate="2026-10-19T11:02:52" endDate="2026-10-19T11:14:46"/>
        <groupItems count="62">
          <s v="&lt;10/19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0/19/2026"/>
        </groupItems>
      </fieldGroup>
    </cacheField>
    <cacheField name="Minutes (Completion time)" numFmtId="0" databaseField="0">
      <fieldGroup base="2">
        <rangePr groupBy="minutes" startDate="2026-10-19T11:02:52" endDate="2026-10-19T11:14:46"/>
        <groupItems count="62">
          <s v="&lt;10/19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0/19/2026"/>
        </groupItems>
      </fieldGroup>
    </cacheField>
    <cacheField name="Hours (Completion time)" numFmtId="0" databaseField="0">
      <fieldGroup base="2">
        <rangePr groupBy="hours" startDate="2026-10-19T11:02:52" endDate="2026-10-19T11:14:46"/>
        <groupItems count="26">
          <s v="&lt;10/19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0/19/2026"/>
        </groupItems>
      </fieldGroup>
    </cacheField>
    <cacheField name="Seconds (Start time)" numFmtId="0" databaseField="0">
      <fieldGroup base="1">
        <rangePr groupBy="seconds" startDate="2026-10-19T11:01:07" endDate="2026-10-19T11:13:51"/>
        <groupItems count="62">
          <s v="&lt;10/19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0/19/2026"/>
        </groupItems>
      </fieldGroup>
    </cacheField>
    <cacheField name="Minutes (Start time)" numFmtId="0" databaseField="0">
      <fieldGroup base="1">
        <rangePr groupBy="minutes" startDate="2026-10-19T11:01:07" endDate="2026-10-19T11:13:51"/>
        <groupItems count="62">
          <s v="&lt;10/19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0/19/2026"/>
        </groupItems>
      </fieldGroup>
    </cacheField>
    <cacheField name="Hours (Start time)" numFmtId="0" databaseField="0">
      <fieldGroup base="1">
        <rangePr groupBy="hours" startDate="2026-10-19T11:01:07" endDate="2026-10-19T11:13:51"/>
        <groupItems count="26">
          <s v="&lt;10/19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0/1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"/>
    <x v="0"/>
    <x v="0"/>
    <x v="0"/>
    <x v="0"/>
    <x v="0"/>
    <x v="0"/>
    <x v="0"/>
    <x v="0"/>
    <x v="0"/>
    <s v="Yes"/>
    <s v="Yes"/>
    <s v="N/A"/>
  </r>
  <r>
    <n v="2"/>
    <x v="1"/>
    <x v="1"/>
    <x v="1"/>
    <x v="1"/>
    <x v="1"/>
    <x v="0"/>
    <x v="1"/>
    <x v="0"/>
    <x v="1"/>
    <s v="Yes"/>
    <s v="Unsure"/>
    <s v="Service"/>
  </r>
  <r>
    <n v="3"/>
    <x v="2"/>
    <x v="2"/>
    <x v="2"/>
    <x v="2"/>
    <x v="2"/>
    <x v="0"/>
    <x v="1"/>
    <x v="1"/>
    <x v="0"/>
    <s v="Yes"/>
    <s v="Yes"/>
    <s v="service speed"/>
  </r>
  <r>
    <n v="4"/>
    <x v="3"/>
    <x v="3"/>
    <x v="3"/>
    <x v="3"/>
    <x v="3"/>
    <x v="1"/>
    <x v="2"/>
    <x v="2"/>
    <x v="2"/>
    <s v="Yes"/>
    <s v="It's affordable "/>
    <s v="Adding more menu item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BAA95-C989-47E9-9FE3-E980DD06D055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D10" firstHeaderRow="1" firstDataRow="2" firstDataCol="1"/>
  <pivotFields count="22">
    <pivotField showAll="0"/>
    <pivotField numFmtId="165" showAll="0">
      <items count="5">
        <item x="0"/>
        <item x="1"/>
        <item x="2"/>
        <item x="3"/>
        <item t="default"/>
      </items>
    </pivotField>
    <pivotField numFmtId="165" showAll="0">
      <items count="5">
        <item x="0"/>
        <item x="1"/>
        <item x="2"/>
        <item x="3"/>
        <item t="default"/>
      </items>
    </pivotField>
    <pivotField numFmtId="45" showAll="0">
      <items count="5">
        <item x="2"/>
        <item x="3"/>
        <item x="1"/>
        <item x="0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dataField="1" showAll="0">
      <items count="5">
        <item x="3"/>
        <item x="1"/>
        <item x="2"/>
        <item x="0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8"/>
    <field x="7"/>
  </rowFields>
  <rowItems count="8">
    <i>
      <x/>
    </i>
    <i r="1">
      <x v="1"/>
    </i>
    <i>
      <x v="1"/>
    </i>
    <i r="1">
      <x/>
    </i>
    <i r="1">
      <x v="1"/>
    </i>
    <i>
      <x v="2"/>
    </i>
    <i r="1"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Name" fld="5" subtotal="count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6" totalsRowCount="1">
  <autoFilter ref="A1:M5" xr:uid="{00000000-0009-0000-0100-000001000000}"/>
  <tableColumns count="13">
    <tableColumn id="1" xr3:uid="{00000000-0010-0000-0000-000001000000}" name="Id" dataDxfId="17" totalsRowDxfId="1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6" totalsRowDxfId="12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5" totalsRowDxfId="11">
      <extLst>
        <ext xmlns:xlmsforms="http://schemas.microsoft.com/office/spreadsheetml/2023/msForms" uri="{FCC71383-01E1-4257-9335-427F07BE8D7F}">
          <xlmsforms:question id="submitDate"/>
        </ext>
      </extLst>
    </tableColumn>
    <tableColumn id="13" xr3:uid="{4AF0D96A-2A5F-478B-9AA3-645C1B6D734D}" name="Time to complete" totalsRowFunction="custom" dataDxfId="14" totalsRowDxfId="10">
      <calculatedColumnFormula>C2-B2</calculatedColumnFormula>
      <totalsRowFormula>AVERAGEA(D2,D5)</totalsRowFormula>
    </tableColumn>
    <tableColumn id="4" xr3:uid="{00000000-0010-0000-0000-000004000000}" name="Email" dataDxfId="25" totalsRow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4" totalsRow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ould you rate your experience today? " totalsRowLabel="=COUNTIF(G2:G5, &quot;3 = Good&quot;)" dataDxfId="23" totalsRowDxfId="7">
      <extLst>
        <ext xmlns:xlmsforms="http://schemas.microsoft.com/office/spreadsheetml/2023/msForms" uri="{FCC71383-01E1-4257-9335-427F07BE8D7F}">
          <xlmsforms:question id="r622df83e646c43569d75d13be146b493"/>
        </ext>
      </extLst>
    </tableColumn>
    <tableColumn id="7" xr3:uid="{00000000-0010-0000-0000-000007000000}" name="What did you order?" dataDxfId="22" totalsRowDxfId="6">
      <extLst>
        <ext xmlns:xlmsforms="http://schemas.microsoft.com/office/spreadsheetml/2023/msForms" uri="{FCC71383-01E1-4257-9335-427F07BE8D7F}">
          <xlmsforms:question id="r62b782351c5d4bd1a996b980d22cc38c"/>
        </ext>
      </extLst>
    </tableColumn>
    <tableColumn id="8" xr3:uid="{00000000-0010-0000-0000-000008000000}" name="Rate your food quality: 1= Horrible, 5 = Excellent " dataDxfId="1" totalsRowDxfId="0" totalsRowCellStyle="Currency">
      <extLst>
        <ext xmlns:xlmsforms="http://schemas.microsoft.com/office/spreadsheetml/2023/msForms" uri="{FCC71383-01E1-4257-9335-427F07BE8D7F}">
          <xlmsforms:question id="r58a11daf1fa443efbc1ca33ecdc8a420"/>
        </ext>
      </extLst>
    </tableColumn>
    <tableColumn id="9" xr3:uid="{00000000-0010-0000-0000-000009000000}" name="Rate the service you received : 1= Horrible, 5 = Excellent " dataDxfId="21" totalsRowDxfId="5">
      <extLst>
        <ext xmlns:xlmsforms="http://schemas.microsoft.com/office/spreadsheetml/2023/msForms" uri="{FCC71383-01E1-4257-9335-427F07BE8D7F}">
          <xlmsforms:question id="rb4786b4753734cb2a8ab00c9b7f98d09"/>
        </ext>
      </extLst>
    </tableColumn>
    <tableColumn id="10" xr3:uid="{00000000-0010-0000-0000-00000A000000}" name="Would you eat here again? " dataDxfId="20" totalsRowDxfId="4">
      <extLst>
        <ext xmlns:xlmsforms="http://schemas.microsoft.com/office/spreadsheetml/2023/msForms" uri="{FCC71383-01E1-4257-9335-427F07BE8D7F}">
          <xlmsforms:question id="r5feae075f3204eb7a2c636f9f7c91f76"/>
        </ext>
      </extLst>
    </tableColumn>
    <tableColumn id="11" xr3:uid="{00000000-0010-0000-0000-00000B000000}" name="Is our pricing inclusive? " dataDxfId="19" totalsRowDxfId="3">
      <extLst>
        <ext xmlns:xlmsforms="http://schemas.microsoft.com/office/spreadsheetml/2023/msForms" uri="{FCC71383-01E1-4257-9335-427F07BE8D7F}">
          <xlmsforms:question id="r46667e48ba734ffcb0fb72041caad3b5"/>
        </ext>
      </extLst>
    </tableColumn>
    <tableColumn id="12" xr3:uid="{00000000-0010-0000-0000-00000C000000}" name="What can we improve? " dataDxfId="18" totalsRowDxfId="2">
      <extLst>
        <ext xmlns:xlmsforms="http://schemas.microsoft.com/office/spreadsheetml/2023/msForms" uri="{FCC71383-01E1-4257-9335-427F07BE8D7F}">
          <xlmsforms:question id="r9c8a0b078d964420a2e0f129d27c12a3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4jy74CddARLq6pOl9tRcHNUQ1lGUk01TzlaQzVISllOM1QwOU9LQ0RHQy4u" isFormConnected="1" maxResponseId="4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r622df83e646c43569d75d13be146b493</xlmsforms:syncedQuestionId>
        <xlmsforms:syncedQuestionId>r62b782351c5d4bd1a996b980d22cc38c</xlmsforms:syncedQuestionId>
        <xlmsforms:syncedQuestionId>r58a11daf1fa443efbc1ca33ecdc8a420</xlmsforms:syncedQuestionId>
        <xlmsforms:syncedQuestionId>rb4786b4753734cb2a8ab00c9b7f98d09</xlmsforms:syncedQuestionId>
        <xlmsforms:syncedQuestionId>r5feae075f3204eb7a2c636f9f7c91f76</xlmsforms:syncedQuestionId>
        <xlmsforms:syncedQuestionId>r46667e48ba734ffcb0fb72041caad3b5</xlmsforms:syncedQuestionId>
        <xlmsforms:syncedQuestionId>r9c8a0b078d964420a2e0f129d27c12a3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5BEB-1536-4CF9-9D68-E73B9AC8F8E1}">
  <dimension ref="A1:D10"/>
  <sheetViews>
    <sheetView tabSelected="1" workbookViewId="0">
      <selection activeCell="C18" sqref="C18"/>
    </sheetView>
  </sheetViews>
  <sheetFormatPr defaultRowHeight="14.4" x14ac:dyDescent="0.3"/>
  <cols>
    <col min="1" max="1" width="15.44140625" bestFit="1" customWidth="1"/>
    <col min="2" max="2" width="15.5546875" bestFit="1" customWidth="1"/>
    <col min="3" max="3" width="11.33203125" bestFit="1" customWidth="1"/>
    <col min="4" max="4" width="10.77734375" bestFit="1" customWidth="1"/>
  </cols>
  <sheetData>
    <row r="1" spans="1:4" x14ac:dyDescent="0.3">
      <c r="A1" s="7" t="s">
        <v>40</v>
      </c>
      <c r="B1" s="7" t="s">
        <v>41</v>
      </c>
    </row>
    <row r="2" spans="1:4" x14ac:dyDescent="0.3">
      <c r="A2" s="7" t="s">
        <v>38</v>
      </c>
      <c r="B2" t="s">
        <v>14</v>
      </c>
      <c r="C2" t="s">
        <v>31</v>
      </c>
      <c r="D2" t="s">
        <v>39</v>
      </c>
    </row>
    <row r="3" spans="1:4" x14ac:dyDescent="0.3">
      <c r="A3" s="8" t="s">
        <v>22</v>
      </c>
      <c r="B3" s="2">
        <v>1</v>
      </c>
      <c r="C3" s="2"/>
      <c r="D3" s="2">
        <v>1</v>
      </c>
    </row>
    <row r="4" spans="1:4" x14ac:dyDescent="0.3">
      <c r="A4" s="9" t="s">
        <v>21</v>
      </c>
      <c r="B4" s="2">
        <v>1</v>
      </c>
      <c r="C4" s="2"/>
      <c r="D4" s="2">
        <v>1</v>
      </c>
    </row>
    <row r="5" spans="1:4" x14ac:dyDescent="0.3">
      <c r="A5" s="8" t="s">
        <v>16</v>
      </c>
      <c r="B5" s="2">
        <v>2</v>
      </c>
      <c r="C5" s="2"/>
      <c r="D5" s="2">
        <v>2</v>
      </c>
    </row>
    <row r="6" spans="1:4" x14ac:dyDescent="0.3">
      <c r="A6" s="9" t="s">
        <v>15</v>
      </c>
      <c r="B6" s="2">
        <v>1</v>
      </c>
      <c r="C6" s="2"/>
      <c r="D6" s="2">
        <v>1</v>
      </c>
    </row>
    <row r="7" spans="1:4" x14ac:dyDescent="0.3">
      <c r="A7" s="9" t="s">
        <v>21</v>
      </c>
      <c r="B7" s="2">
        <v>1</v>
      </c>
      <c r="C7" s="2"/>
      <c r="D7" s="2">
        <v>1</v>
      </c>
    </row>
    <row r="8" spans="1:4" x14ac:dyDescent="0.3">
      <c r="A8" s="8" t="s">
        <v>33</v>
      </c>
      <c r="B8" s="2"/>
      <c r="C8" s="2">
        <v>1</v>
      </c>
      <c r="D8" s="2">
        <v>1</v>
      </c>
    </row>
    <row r="9" spans="1:4" x14ac:dyDescent="0.3">
      <c r="A9" s="9" t="s">
        <v>32</v>
      </c>
      <c r="B9" s="2"/>
      <c r="C9" s="2">
        <v>1</v>
      </c>
      <c r="D9" s="2">
        <v>1</v>
      </c>
    </row>
    <row r="10" spans="1:4" x14ac:dyDescent="0.3">
      <c r="A10" s="8" t="s">
        <v>39</v>
      </c>
      <c r="B10" s="2">
        <v>3</v>
      </c>
      <c r="C10" s="2">
        <v>1</v>
      </c>
      <c r="D10" s="2">
        <v>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>
      <selection activeCell="D18" sqref="D18"/>
    </sheetView>
  </sheetViews>
  <sheetFormatPr defaultRowHeight="14.4" x14ac:dyDescent="0.3"/>
  <cols>
    <col min="1" max="3" width="20" bestFit="1" customWidth="1"/>
    <col min="4" max="4" width="20" style="4" bestFit="1" customWidth="1"/>
    <col min="5" max="5" width="36.33203125" customWidth="1"/>
    <col min="6" max="6" width="26.6640625" customWidth="1"/>
    <col min="7" max="7" width="44.88671875" customWidth="1"/>
    <col min="8" max="8" width="24.77734375" customWidth="1"/>
    <col min="9" max="9" width="25.44140625" customWidth="1"/>
    <col min="10" max="10" width="24.109375" customWidth="1"/>
    <col min="11" max="11" width="26" customWidth="1"/>
    <col min="12" max="12" width="24.6640625" customWidth="1"/>
    <col min="13" max="13" width="25.5546875" customWidth="1"/>
  </cols>
  <sheetData>
    <row r="1" spans="1:13" x14ac:dyDescent="0.3">
      <c r="A1" t="s">
        <v>0</v>
      </c>
      <c r="B1" s="3" t="s">
        <v>1</v>
      </c>
      <c r="C1" t="s">
        <v>2</v>
      </c>
      <c r="D1" s="4" t="s">
        <v>36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 s="3">
        <v>46314.459108796298</v>
      </c>
      <c r="C2" s="3">
        <v>46314.460324074076</v>
      </c>
      <c r="D2" s="4">
        <f t="shared" ref="D2:D5" si="0">C2-B2</f>
        <v>1.2152777781011537E-3</v>
      </c>
      <c r="E2" t="s">
        <v>12</v>
      </c>
      <c r="F2" t="s">
        <v>13</v>
      </c>
      <c r="G2" t="s">
        <v>14</v>
      </c>
      <c r="H2" t="s">
        <v>15</v>
      </c>
      <c r="I2" s="4" t="s">
        <v>16</v>
      </c>
      <c r="J2" s="1" t="s">
        <v>16</v>
      </c>
      <c r="K2" t="s">
        <v>17</v>
      </c>
      <c r="L2" t="s">
        <v>17</v>
      </c>
      <c r="M2" t="s">
        <v>18</v>
      </c>
    </row>
    <row r="3" spans="1:13" x14ac:dyDescent="0.3">
      <c r="A3">
        <v>2</v>
      </c>
      <c r="B3" s="3">
        <v>46314.461111111108</v>
      </c>
      <c r="C3" s="3">
        <v>46314.462037037039</v>
      </c>
      <c r="D3" s="4">
        <f t="shared" si="0"/>
        <v>9.2592593136942014E-4</v>
      </c>
      <c r="E3" t="s">
        <v>19</v>
      </c>
      <c r="F3" t="s">
        <v>20</v>
      </c>
      <c r="G3" t="s">
        <v>14</v>
      </c>
      <c r="H3" t="s">
        <v>21</v>
      </c>
      <c r="I3" s="4" t="s">
        <v>16</v>
      </c>
      <c r="J3" s="1" t="s">
        <v>22</v>
      </c>
      <c r="K3" t="s">
        <v>17</v>
      </c>
      <c r="L3" t="s">
        <v>23</v>
      </c>
      <c r="M3" t="s">
        <v>24</v>
      </c>
    </row>
    <row r="4" spans="1:13" x14ac:dyDescent="0.3">
      <c r="A4">
        <v>3</v>
      </c>
      <c r="B4" s="3">
        <v>46314.461747685185</v>
      </c>
      <c r="C4" s="3">
        <v>46314.462210648147</v>
      </c>
      <c r="D4" s="4">
        <f t="shared" si="0"/>
        <v>4.6296296204673126E-4</v>
      </c>
      <c r="E4" t="s">
        <v>25</v>
      </c>
      <c r="F4" t="s">
        <v>26</v>
      </c>
      <c r="G4" t="s">
        <v>14</v>
      </c>
      <c r="H4" t="s">
        <v>21</v>
      </c>
      <c r="I4" s="4" t="s">
        <v>22</v>
      </c>
      <c r="J4" s="1" t="s">
        <v>16</v>
      </c>
      <c r="K4" t="s">
        <v>17</v>
      </c>
      <c r="L4" t="s">
        <v>27</v>
      </c>
      <c r="M4" t="s">
        <v>28</v>
      </c>
    </row>
    <row r="5" spans="1:13" x14ac:dyDescent="0.3">
      <c r="A5">
        <v>4</v>
      </c>
      <c r="B5" s="3">
        <v>46314.467951388891</v>
      </c>
      <c r="C5" s="3">
        <v>46314.468587962961</v>
      </c>
      <c r="D5" s="4">
        <f t="shared" si="0"/>
        <v>6.3657407008577138E-4</v>
      </c>
      <c r="E5" t="s">
        <v>29</v>
      </c>
      <c r="F5" t="s">
        <v>30</v>
      </c>
      <c r="G5" t="s">
        <v>31</v>
      </c>
      <c r="H5" t="s">
        <v>32</v>
      </c>
      <c r="I5" s="4" t="s">
        <v>33</v>
      </c>
      <c r="J5" s="1" t="s">
        <v>33</v>
      </c>
      <c r="K5" t="s">
        <v>17</v>
      </c>
      <c r="L5" t="s">
        <v>34</v>
      </c>
      <c r="M5" t="s">
        <v>35</v>
      </c>
    </row>
    <row r="6" spans="1:13" x14ac:dyDescent="0.3">
      <c r="A6" s="2"/>
      <c r="B6" s="3"/>
      <c r="C6" s="3"/>
      <c r="D6" s="4">
        <f>AVERAGEA(D2,D5)</f>
        <v>9.2592592409346253E-4</v>
      </c>
      <c r="E6" s="5"/>
      <c r="F6" s="5"/>
      <c r="G6" s="5" t="s">
        <v>37</v>
      </c>
      <c r="H6" s="5"/>
      <c r="I6" s="6"/>
      <c r="J6" s="5"/>
      <c r="K6" s="5"/>
      <c r="L6" s="5"/>
      <c r="M6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PivotChart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stephanie lopezchavoya</cp:lastModifiedBy>
  <dcterms:created xsi:type="dcterms:W3CDTF">2026-10-19T22:36:55Z</dcterms:created>
  <dcterms:modified xsi:type="dcterms:W3CDTF">2026-10-21T17:52:48Z</dcterms:modified>
</cp:coreProperties>
</file>