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yolis\Documents\DataAnalytics\Week-01\"/>
    </mc:Choice>
  </mc:AlternateContent>
  <xr:revisionPtr revIDLastSave="0" documentId="13_ncr:1_{3BDA976A-48CD-4096-9ACF-35DDF5307704}" xr6:coauthVersionLast="47" xr6:coauthVersionMax="47" xr10:uidLastSave="{00000000-0000-0000-0000-000000000000}"/>
  <bookViews>
    <workbookView xWindow="-108" yWindow="-108" windowWidth="23256" windowHeight="12456" xr2:uid="{E7A2AB7A-0A39-4448-B3BB-D3A18E664D99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G2" i="1"/>
</calcChain>
</file>

<file path=xl/sharedStrings.xml><?xml version="1.0" encoding="utf-8"?>
<sst xmlns="http://schemas.openxmlformats.org/spreadsheetml/2006/main" count="154" uniqueCount="68">
  <si>
    <t>Region</t>
  </si>
  <si>
    <t>Kentucky</t>
  </si>
  <si>
    <t>North Carolina</t>
  </si>
  <si>
    <t>Tennessee</t>
  </si>
  <si>
    <t>South Carolina</t>
  </si>
  <si>
    <t>Alabama</t>
  </si>
  <si>
    <t>Utah</t>
  </si>
  <si>
    <t>Georgia</t>
  </si>
  <si>
    <t>Indiana</t>
  </si>
  <si>
    <t>West Virginia</t>
  </si>
  <si>
    <t>Florida</t>
  </si>
  <si>
    <t>Arizona</t>
  </si>
  <si>
    <t>Illinois</t>
  </si>
  <si>
    <t>Ohio</t>
  </si>
  <si>
    <t>Virginia</t>
  </si>
  <si>
    <t>Pennsylvania</t>
  </si>
  <si>
    <t>Arkansas</t>
  </si>
  <si>
    <t>Nevada</t>
  </si>
  <si>
    <t>Oklahoma</t>
  </si>
  <si>
    <t>Missouri</t>
  </si>
  <si>
    <t>Kansas</t>
  </si>
  <si>
    <t>Mississippi</t>
  </si>
  <si>
    <t>Connecticut</t>
  </si>
  <si>
    <t>Michigan</t>
  </si>
  <si>
    <t>New Jersey</t>
  </si>
  <si>
    <t>Delaware</t>
  </si>
  <si>
    <t>Rhode Island</t>
  </si>
  <si>
    <t>Maryland</t>
  </si>
  <si>
    <t>Texas</t>
  </si>
  <si>
    <t>Idaho</t>
  </si>
  <si>
    <t>Wisconsin</t>
  </si>
  <si>
    <t>Louisiana</t>
  </si>
  <si>
    <t>Nebraska</t>
  </si>
  <si>
    <t>North Dakota</t>
  </si>
  <si>
    <t>California</t>
  </si>
  <si>
    <t>New York</t>
  </si>
  <si>
    <t>Colorado</t>
  </si>
  <si>
    <t>Minnesota</t>
  </si>
  <si>
    <t>Oregon</t>
  </si>
  <si>
    <t>New Hampshire</t>
  </si>
  <si>
    <t>Iowa</t>
  </si>
  <si>
    <t>New Mexico</t>
  </si>
  <si>
    <t>Washington</t>
  </si>
  <si>
    <t>Massachusetts</t>
  </si>
  <si>
    <t>Maine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</si>
  <si>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</si>
  <si>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</si>
  <si>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</si>
  <si>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</si>
  <si>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</si>
  <si>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</si>
  <si>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</si>
  <si>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</si>
  <si>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</si>
  <si>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</si>
  <si>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 xml:space="preserve"> (2/1/24 - 2/28/25)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</si>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</sst>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0.67</c:v>
                </c:pt>
                <c:pt idx="3">
                  <c:v>0.74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0.76</c:v>
                </c:pt>
                <c:pt idx="8">
                  <c:v>0.68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8-4559-9054-362C1BA9BB68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0.19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8-4559-9054-362C1BA9B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322944"/>
        <c:axId val="1643341200"/>
      </c:barChart>
      <c:catAx>
        <c:axId val="15613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41200"/>
        <c:crosses val="autoZero"/>
        <c:auto val="1"/>
        <c:lblAlgn val="ctr"/>
        <c:lblOffset val="100"/>
        <c:noMultiLvlLbl val="0"/>
      </c:catAx>
      <c:valAx>
        <c:axId val="16433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2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</xdr:row>
      <xdr:rowOff>163830</xdr:rowOff>
    </xdr:from>
    <xdr:to>
      <xdr:col>12</xdr:col>
      <xdr:colOff>358140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F5905-7A3F-74CE-F7B8-696AEEC8C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is Lopez" refreshedDate="46312.617640856479" createdVersion="8" refreshedVersion="8" minRefreshableVersion="3" recordCount="10" xr:uid="{445806A5-F65F-44A9-9ECB-4FBA521FBCB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0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8"/>
    <n v="0.19"/>
  </r>
  <r>
    <x v="3"/>
    <x v="0"/>
    <n v="0.74"/>
    <n v="0.14000000000000001"/>
  </r>
  <r>
    <x v="4"/>
    <x v="1"/>
    <n v="0.7"/>
    <n v="0.18"/>
  </r>
  <r>
    <x v="5"/>
    <x v="1"/>
    <n v="0.76"/>
    <n v="0.14000000000000001"/>
  </r>
  <r>
    <x v="6"/>
    <x v="1"/>
    <n v="0.69"/>
    <n v="0.18"/>
  </r>
  <r>
    <x v="7"/>
    <x v="1"/>
    <n v="0.67"/>
    <n v="0.19"/>
  </r>
  <r>
    <x v="8"/>
    <x v="1"/>
    <n v="0.67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A6628-6D49-4E16-93B6-6114F447907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F15A-0104-4CCD-AD9C-A462626E20CA}">
  <dimension ref="A1:K52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21.88671875" customWidth="1"/>
    <col min="2" max="2" width="21.44140625" customWidth="1"/>
    <col min="3" max="3" width="10.5546875" customWidth="1"/>
    <col min="4" max="4" width="10" customWidth="1"/>
    <col min="5" max="5" width="10.109375" customWidth="1"/>
    <col min="7" max="7" width="11.33203125" customWidth="1"/>
    <col min="10" max="10" width="11.33203125" customWidth="1"/>
    <col min="11" max="11" width="16.554687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/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0.62</v>
      </c>
      <c r="D2" s="1">
        <v>0.25</v>
      </c>
      <c r="E2" s="1">
        <v>0.13</v>
      </c>
      <c r="G2">
        <f>COUNT(B2:B52)</f>
        <v>0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11</v>
      </c>
      <c r="C4" s="1">
        <v>0.65</v>
      </c>
      <c r="D4" s="1">
        <v>0.21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34</v>
      </c>
      <c r="C6" s="1">
        <v>0.65</v>
      </c>
      <c r="D6" s="1">
        <v>0.19</v>
      </c>
      <c r="E6" s="1">
        <v>0.16</v>
      </c>
    </row>
    <row r="7" spans="1:11" x14ac:dyDescent="0.3">
      <c r="A7">
        <v>6</v>
      </c>
      <c r="B7" t="s">
        <v>36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22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25</v>
      </c>
      <c r="C9" s="1">
        <v>0.65</v>
      </c>
      <c r="D9" s="1">
        <v>0.22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10</v>
      </c>
      <c r="C11" s="1">
        <v>0.62</v>
      </c>
      <c r="D11" s="1">
        <v>0.24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0.15</v>
      </c>
      <c r="E13" s="1">
        <v>0.12</v>
      </c>
    </row>
    <row r="14" spans="1:11" x14ac:dyDescent="0.3">
      <c r="A14">
        <v>13</v>
      </c>
      <c r="B14" t="s">
        <v>29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12</v>
      </c>
      <c r="C15" s="1">
        <v>0.61</v>
      </c>
      <c r="D15" s="1">
        <v>0.24</v>
      </c>
      <c r="E15" s="1">
        <v>0.15</v>
      </c>
    </row>
    <row r="16" spans="1:11" x14ac:dyDescent="0.3">
      <c r="A16">
        <v>15</v>
      </c>
      <c r="B16" t="s">
        <v>8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</v>
      </c>
      <c r="C19" s="1">
        <v>0.63</v>
      </c>
      <c r="D19" s="1">
        <v>0.25</v>
      </c>
      <c r="E19" s="1">
        <v>0.12</v>
      </c>
    </row>
    <row r="20" spans="1:5" x14ac:dyDescent="0.3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">
      <c r="A21">
        <v>20</v>
      </c>
      <c r="B21" t="s">
        <v>44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27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23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37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19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32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35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18</v>
      </c>
      <c r="C38" s="1">
        <v>0.69</v>
      </c>
      <c r="D38" s="1">
        <v>0.18</v>
      </c>
      <c r="E38" s="1">
        <v>0.13</v>
      </c>
    </row>
    <row r="39" spans="1:5" x14ac:dyDescent="0.3">
      <c r="A39">
        <v>38</v>
      </c>
      <c r="B39" t="s">
        <v>38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26</v>
      </c>
      <c r="C41" s="1">
        <v>0.64</v>
      </c>
      <c r="D41" s="1">
        <v>0.22</v>
      </c>
      <c r="E41" s="1">
        <v>0.14000000000000001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45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14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0.72</v>
      </c>
      <c r="D52" s="1">
        <v>0.15</v>
      </c>
      <c r="E52" s="1">
        <v>0.13</v>
      </c>
    </row>
  </sheetData>
  <autoFilter ref="A1:E52" xr:uid="{410BF15A-0104-4CCD-AD9C-A462626E20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8C70-C8CA-483F-B196-373E2B6F6915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6" sqref="H16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50</v>
      </c>
      <c r="D1" t="s">
        <v>11</v>
      </c>
      <c r="E1" t="s">
        <v>16</v>
      </c>
      <c r="F1" t="s">
        <v>34</v>
      </c>
      <c r="G1" t="s">
        <v>36</v>
      </c>
      <c r="H1" t="s">
        <v>22</v>
      </c>
      <c r="I1" t="s">
        <v>25</v>
      </c>
      <c r="J1" t="s">
        <v>51</v>
      </c>
      <c r="K1" t="s">
        <v>10</v>
      </c>
      <c r="L1" t="s">
        <v>7</v>
      </c>
      <c r="M1" t="s">
        <v>48</v>
      </c>
      <c r="N1" t="s">
        <v>29</v>
      </c>
      <c r="O1" t="s">
        <v>12</v>
      </c>
      <c r="P1" t="s">
        <v>8</v>
      </c>
      <c r="Q1" t="s">
        <v>40</v>
      </c>
      <c r="R1" t="s">
        <v>20</v>
      </c>
      <c r="S1" t="s">
        <v>1</v>
      </c>
      <c r="T1" t="s">
        <v>31</v>
      </c>
      <c r="U1" t="s">
        <v>44</v>
      </c>
      <c r="V1" t="s">
        <v>27</v>
      </c>
      <c r="W1" t="s">
        <v>43</v>
      </c>
      <c r="X1" t="s">
        <v>23</v>
      </c>
      <c r="Y1" t="s">
        <v>37</v>
      </c>
      <c r="Z1" t="s">
        <v>21</v>
      </c>
      <c r="AA1" t="s">
        <v>19</v>
      </c>
      <c r="AB1" t="s">
        <v>49</v>
      </c>
      <c r="AC1" t="s">
        <v>32</v>
      </c>
      <c r="AD1" t="s">
        <v>17</v>
      </c>
      <c r="AE1" t="s">
        <v>39</v>
      </c>
      <c r="AF1" t="s">
        <v>24</v>
      </c>
      <c r="AG1" t="s">
        <v>41</v>
      </c>
      <c r="AH1" t="s">
        <v>35</v>
      </c>
      <c r="AI1" t="s">
        <v>2</v>
      </c>
      <c r="AJ1" t="s">
        <v>33</v>
      </c>
      <c r="AK1" t="s">
        <v>13</v>
      </c>
      <c r="AL1" t="s">
        <v>18</v>
      </c>
      <c r="AM1" t="s">
        <v>38</v>
      </c>
      <c r="AN1" t="s">
        <v>15</v>
      </c>
      <c r="AO1" t="s">
        <v>26</v>
      </c>
      <c r="AP1" t="s">
        <v>4</v>
      </c>
      <c r="AQ1" t="s">
        <v>45</v>
      </c>
      <c r="AR1" t="s">
        <v>3</v>
      </c>
      <c r="AS1" t="s">
        <v>28</v>
      </c>
      <c r="AT1" t="s">
        <v>6</v>
      </c>
      <c r="AU1" t="s">
        <v>47</v>
      </c>
      <c r="AV1" t="s">
        <v>14</v>
      </c>
      <c r="AW1" t="s">
        <v>42</v>
      </c>
      <c r="AX1" t="s">
        <v>9</v>
      </c>
      <c r="AY1" t="s">
        <v>30</v>
      </c>
      <c r="AZ1" t="s">
        <v>46</v>
      </c>
    </row>
    <row r="2" spans="1:52" x14ac:dyDescent="0.3">
      <c r="A2" t="s">
        <v>56</v>
      </c>
      <c r="B2" s="1">
        <v>0.62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0.65</v>
      </c>
      <c r="I2" s="1">
        <v>0.65</v>
      </c>
      <c r="J2" s="1">
        <v>0.68</v>
      </c>
      <c r="K2" s="1">
        <v>0.62</v>
      </c>
      <c r="L2" s="1">
        <v>0.62</v>
      </c>
      <c r="M2" s="1">
        <v>0.73</v>
      </c>
      <c r="N2" s="1">
        <v>0.68</v>
      </c>
      <c r="O2" s="1">
        <v>0.61</v>
      </c>
      <c r="P2" s="1">
        <v>0.65</v>
      </c>
      <c r="Q2" s="1">
        <v>0.68</v>
      </c>
      <c r="R2" s="1">
        <v>0.67</v>
      </c>
      <c r="S2" s="1">
        <v>0.63</v>
      </c>
      <c r="T2" s="1">
        <v>0.67</v>
      </c>
      <c r="U2" s="1">
        <v>0.68</v>
      </c>
      <c r="V2" s="1">
        <v>0.63</v>
      </c>
      <c r="W2" s="1">
        <v>0.61</v>
      </c>
      <c r="X2" s="1">
        <v>0.65</v>
      </c>
      <c r="Y2" s="1">
        <v>0.67</v>
      </c>
      <c r="Z2" s="1">
        <v>0.68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0.66</v>
      </c>
      <c r="AH2" s="1">
        <v>0.62</v>
      </c>
      <c r="AI2" s="1">
        <v>0.63</v>
      </c>
      <c r="AJ2" s="1">
        <v>0.7</v>
      </c>
      <c r="AK2" s="1">
        <v>0.65</v>
      </c>
      <c r="AL2" s="1">
        <v>0.69</v>
      </c>
      <c r="AM2" s="1">
        <v>0.69</v>
      </c>
      <c r="AN2" s="1">
        <v>0.62</v>
      </c>
      <c r="AO2" s="1">
        <v>0.64</v>
      </c>
      <c r="AP2" s="1">
        <v>0.67</v>
      </c>
      <c r="AQ2" s="1">
        <v>0.76</v>
      </c>
      <c r="AR2" s="1">
        <v>0.65</v>
      </c>
      <c r="AS2" s="1">
        <v>0.67</v>
      </c>
      <c r="AT2" s="1">
        <v>0.66</v>
      </c>
      <c r="AU2" s="1">
        <v>0.7</v>
      </c>
      <c r="AV2" s="1">
        <v>0.62</v>
      </c>
      <c r="AW2" s="1">
        <v>0.68</v>
      </c>
      <c r="AX2" s="1">
        <v>0.64</v>
      </c>
      <c r="AY2" s="1">
        <v>0.67</v>
      </c>
      <c r="AZ2" s="1">
        <v>0.72</v>
      </c>
    </row>
    <row r="3" spans="1:52" x14ac:dyDescent="0.3">
      <c r="A3" t="s">
        <v>57</v>
      </c>
      <c r="B3" s="1">
        <v>0.25</v>
      </c>
      <c r="C3" s="1">
        <v>0.15</v>
      </c>
      <c r="D3" s="1">
        <v>0.21</v>
      </c>
      <c r="E3" s="1">
        <v>0.2</v>
      </c>
      <c r="F3" s="1">
        <v>0.19</v>
      </c>
      <c r="G3" s="1">
        <v>0.18</v>
      </c>
      <c r="H3" s="1">
        <v>0.21</v>
      </c>
      <c r="I3" s="1">
        <v>0.22</v>
      </c>
      <c r="J3" s="1">
        <v>0.16</v>
      </c>
      <c r="K3" s="1">
        <v>0.24</v>
      </c>
      <c r="L3" s="1">
        <v>0.24</v>
      </c>
      <c r="M3" s="1">
        <v>0.15</v>
      </c>
      <c r="N3" s="1">
        <v>0.19</v>
      </c>
      <c r="O3" s="1">
        <v>0.24</v>
      </c>
      <c r="P3" s="1">
        <v>0.22</v>
      </c>
      <c r="Q3" s="1">
        <v>0.19</v>
      </c>
      <c r="R3" s="1">
        <v>0.19</v>
      </c>
      <c r="S3" s="1">
        <v>0.25</v>
      </c>
      <c r="T3" s="1">
        <v>0.2</v>
      </c>
      <c r="U3" s="1">
        <v>0.19</v>
      </c>
      <c r="V3" s="1">
        <v>0.22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0.24</v>
      </c>
      <c r="AJ3" s="1">
        <v>0.18</v>
      </c>
      <c r="AK3" s="1">
        <v>0.22</v>
      </c>
      <c r="AL3" s="1">
        <v>0.18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0.23</v>
      </c>
      <c r="AY3" s="1">
        <v>0.2</v>
      </c>
      <c r="AZ3" s="1">
        <v>0.15</v>
      </c>
    </row>
    <row r="4" spans="1:52" x14ac:dyDescent="0.3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0.18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0.17</v>
      </c>
      <c r="AI4" s="1">
        <v>0.13</v>
      </c>
      <c r="AJ4" s="1">
        <v>0.12</v>
      </c>
      <c r="AK4" s="1">
        <v>0.13</v>
      </c>
      <c r="AL4" s="1">
        <v>0.13</v>
      </c>
      <c r="AM4" s="1">
        <v>0.13</v>
      </c>
      <c r="AN4" s="1">
        <v>0.15</v>
      </c>
      <c r="AO4" s="1">
        <v>0.14000000000000001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2C29-D9E6-48E6-BB2E-E43E07CCCE3C}">
  <dimension ref="A1:D26"/>
  <sheetViews>
    <sheetView workbookViewId="0">
      <selection activeCell="E15" sqref="E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10.77734375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42</v>
      </c>
      <c r="B2" t="s">
        <v>61</v>
      </c>
      <c r="C2" s="4">
        <f>VLOOKUP('sales region lookup'!A2, 'by search term'!B:C, 2, FALSE)</f>
        <v>0.68</v>
      </c>
      <c r="D2">
        <f>_xlfn.XLOOKUP(A2, 'by search term'!B1:B52, 'by search term'!D1:D52, "not found")</f>
        <v>0.18</v>
      </c>
    </row>
    <row r="3" spans="1:4" x14ac:dyDescent="0.3">
      <c r="A3" t="s">
        <v>38</v>
      </c>
      <c r="B3" t="s">
        <v>61</v>
      </c>
      <c r="C3" s="4">
        <f>VLOOKUP('sales region lookup'!A3, 'by search term'!B:C, 2, FALSE)</f>
        <v>0.69</v>
      </c>
      <c r="D3">
        <f>_xlfn.XLOOKUP(A3, 'by search term'!B2:B53, 'by search term'!D2:D53, "not found")</f>
        <v>0.18</v>
      </c>
    </row>
    <row r="4" spans="1:4" x14ac:dyDescent="0.3">
      <c r="A4" t="s">
        <v>29</v>
      </c>
      <c r="B4" t="s">
        <v>61</v>
      </c>
      <c r="C4" s="4">
        <f>VLOOKUP('sales region lookup'!A4, 'by search term'!B:C, 2, FALSE)</f>
        <v>0.68</v>
      </c>
      <c r="D4">
        <f>_xlfn.XLOOKUP(A4, 'by search term'!B3:B54, 'by search term'!D3:D54, "not found")</f>
        <v>0.19</v>
      </c>
    </row>
    <row r="5" spans="1:4" x14ac:dyDescent="0.3">
      <c r="A5" t="s">
        <v>49</v>
      </c>
      <c r="B5" t="s">
        <v>61</v>
      </c>
      <c r="C5" s="4">
        <f>VLOOKUP('sales region lookup'!A5, 'by search term'!B:C, 2, FALSE)</f>
        <v>0.74</v>
      </c>
      <c r="D5">
        <f>_xlfn.XLOOKUP(A5, 'by search term'!B4:B55, 'by search term'!D4:D55, "not found")</f>
        <v>0.14000000000000001</v>
      </c>
    </row>
    <row r="6" spans="1:4" x14ac:dyDescent="0.3">
      <c r="A6" t="s">
        <v>33</v>
      </c>
      <c r="B6" t="s">
        <v>62</v>
      </c>
      <c r="C6" s="4">
        <f>VLOOKUP('sales region lookup'!A6, 'by search term'!B:C, 2, FALSE)</f>
        <v>0.7</v>
      </c>
      <c r="D6">
        <f>_xlfn.XLOOKUP(A6, 'by search term'!B5:B56, 'by search term'!D5:D56, "not found")</f>
        <v>0.18</v>
      </c>
    </row>
    <row r="7" spans="1:4" x14ac:dyDescent="0.3">
      <c r="A7" t="s">
        <v>45</v>
      </c>
      <c r="B7" t="s">
        <v>62</v>
      </c>
      <c r="C7" s="4">
        <f>VLOOKUP('sales region lookup'!A7, 'by search term'!B:C, 2, FALSE)</f>
        <v>0.76</v>
      </c>
      <c r="D7">
        <f>_xlfn.XLOOKUP(A7, 'by search term'!B6:B57, 'by search term'!D6:D57, "not found")</f>
        <v>0.14000000000000001</v>
      </c>
    </row>
    <row r="8" spans="1:4" x14ac:dyDescent="0.3">
      <c r="A8" t="s">
        <v>32</v>
      </c>
      <c r="B8" t="s">
        <v>62</v>
      </c>
      <c r="C8" s="4">
        <f>VLOOKUP('sales region lookup'!A8, 'by search term'!B:C, 2, FALSE)</f>
        <v>0.69</v>
      </c>
      <c r="D8">
        <f>_xlfn.XLOOKUP(A8, 'by search term'!B7:B58, 'by search term'!D7:D58, "not found")</f>
        <v>0.18</v>
      </c>
    </row>
    <row r="9" spans="1:4" x14ac:dyDescent="0.3">
      <c r="A9" t="s">
        <v>37</v>
      </c>
      <c r="B9" t="s">
        <v>62</v>
      </c>
      <c r="C9" s="4">
        <f>VLOOKUP('sales region lookup'!A9, 'by search term'!B:C, 2, FALSE)</f>
        <v>0.67</v>
      </c>
      <c r="D9">
        <f>_xlfn.XLOOKUP(A9, 'by search term'!B8:B59, 'by search term'!D8:D59, "not found")</f>
        <v>0.19</v>
      </c>
    </row>
    <row r="10" spans="1:4" x14ac:dyDescent="0.3">
      <c r="A10" t="s">
        <v>30</v>
      </c>
      <c r="B10" t="s">
        <v>62</v>
      </c>
      <c r="C10" s="4">
        <f>VLOOKUP('sales region lookup'!A10, 'by search term'!B:C, 2, FALSE)</f>
        <v>0.67</v>
      </c>
      <c r="D10">
        <f>_xlfn.XLOOKUP(A10, 'by search term'!B9:B60, 'by search term'!D9:D60, "not found")</f>
        <v>0.2</v>
      </c>
    </row>
    <row r="11" spans="1:4" x14ac:dyDescent="0.3">
      <c r="A11" t="s">
        <v>23</v>
      </c>
      <c r="B11" t="s">
        <v>62</v>
      </c>
      <c r="C11" s="4">
        <f>VLOOKUP('sales region lookup'!A11, 'by search term'!B:C, 2, FALSE)</f>
        <v>0.65</v>
      </c>
      <c r="D11">
        <f>_xlfn.XLOOKUP(A11, 'by search term'!B10:B61, 'by search term'!D10:D61, "not found")</f>
        <v>0.21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29</v>
      </c>
      <c r="B16" s="1">
        <v>0.68</v>
      </c>
      <c r="C16">
        <v>0.19</v>
      </c>
    </row>
    <row r="17" spans="1:3" x14ac:dyDescent="0.3">
      <c r="A17" s="6" t="s">
        <v>23</v>
      </c>
      <c r="B17" s="1">
        <v>0.65</v>
      </c>
      <c r="C17">
        <v>0.21</v>
      </c>
    </row>
    <row r="18" spans="1:3" x14ac:dyDescent="0.3">
      <c r="A18" s="6" t="s">
        <v>37</v>
      </c>
      <c r="B18" s="1">
        <v>0.67</v>
      </c>
      <c r="C18">
        <v>0.19</v>
      </c>
    </row>
    <row r="19" spans="1:3" x14ac:dyDescent="0.3">
      <c r="A19" s="6" t="s">
        <v>49</v>
      </c>
      <c r="B19" s="1">
        <v>0.74</v>
      </c>
      <c r="C19">
        <v>0.14000000000000001</v>
      </c>
    </row>
    <row r="20" spans="1:3" x14ac:dyDescent="0.3">
      <c r="A20" s="6" t="s">
        <v>32</v>
      </c>
      <c r="B20" s="1">
        <v>0.69</v>
      </c>
      <c r="C20">
        <v>0.18</v>
      </c>
    </row>
    <row r="21" spans="1:3" x14ac:dyDescent="0.3">
      <c r="A21" s="6" t="s">
        <v>33</v>
      </c>
      <c r="B21" s="1">
        <v>0.7</v>
      </c>
      <c r="C21">
        <v>0.18</v>
      </c>
    </row>
    <row r="22" spans="1:3" x14ac:dyDescent="0.3">
      <c r="A22" s="6" t="s">
        <v>38</v>
      </c>
      <c r="B22" s="1">
        <v>0.69</v>
      </c>
      <c r="C22">
        <v>0.18</v>
      </c>
    </row>
    <row r="23" spans="1:3" x14ac:dyDescent="0.3">
      <c r="A23" s="6" t="s">
        <v>45</v>
      </c>
      <c r="B23" s="1">
        <v>0.76</v>
      </c>
      <c r="C23">
        <v>0.14000000000000001</v>
      </c>
    </row>
    <row r="24" spans="1:3" x14ac:dyDescent="0.3">
      <c r="A24" s="6" t="s">
        <v>42</v>
      </c>
      <c r="B24" s="1">
        <v>0.68</v>
      </c>
      <c r="C24">
        <v>0.18</v>
      </c>
    </row>
    <row r="25" spans="1:3" x14ac:dyDescent="0.3">
      <c r="A25" s="6" t="s">
        <v>30</v>
      </c>
      <c r="B25" s="1">
        <v>0.67</v>
      </c>
      <c r="C25">
        <v>0.2</v>
      </c>
    </row>
    <row r="26" spans="1:3" x14ac:dyDescent="0.3">
      <c r="A26" s="6" t="s">
        <v>64</v>
      </c>
      <c r="B26" s="1">
        <v>6.93</v>
      </c>
      <c r="C26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lopezchavoya</cp:lastModifiedBy>
  <dcterms:created xsi:type="dcterms:W3CDTF">2026-10-14T22:40:44Z</dcterms:created>
  <dcterms:modified xsi:type="dcterms:W3CDTF">2026-10-17T21:54:38Z</dcterms:modified>
</cp:coreProperties>
</file>